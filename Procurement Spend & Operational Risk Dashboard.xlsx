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shthiak Hossain\Documents\"/>
    </mc:Choice>
  </mc:AlternateContent>
  <xr:revisionPtr revIDLastSave="0" documentId="8_{45BBFFE8-7F23-4F0E-B4C5-99B13C129311}" xr6:coauthVersionLast="47" xr6:coauthVersionMax="47" xr10:uidLastSave="{00000000-0000-0000-0000-000000000000}"/>
  <bookViews>
    <workbookView xWindow="-98" yWindow="-98" windowWidth="21795" windowHeight="12975" xr2:uid="{D2CE6E7A-607B-4988-89B1-0D563CDED014}"/>
  </bookViews>
  <sheets>
    <sheet name="Pivot_Calculations" sheetId="6" r:id="rId1"/>
    <sheet name="Data" sheetId="1" r:id="rId2"/>
    <sheet name="Supplier_Info!" sheetId="2" r:id="rId3"/>
  </sheets>
  <calcPr calcId="191029"/>
  <pivotCaches>
    <pivotCache cacheId="16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6" i="1" l="1"/>
  <c r="L16" i="1"/>
  <c r="K16" i="1"/>
  <c r="J16" i="1"/>
  <c r="G16" i="1"/>
  <c r="M15" i="1"/>
  <c r="L15" i="1"/>
  <c r="K15" i="1"/>
  <c r="J15" i="1"/>
  <c r="G15" i="1"/>
  <c r="M14" i="1"/>
  <c r="L14" i="1"/>
  <c r="K14" i="1"/>
  <c r="J14" i="1"/>
  <c r="G14" i="1"/>
  <c r="M13" i="1"/>
  <c r="L13" i="1"/>
  <c r="K13" i="1"/>
  <c r="J13" i="1"/>
  <c r="G13" i="1"/>
  <c r="M12" i="1"/>
  <c r="L12" i="1"/>
  <c r="K12" i="1"/>
  <c r="J12" i="1"/>
  <c r="G12" i="1"/>
  <c r="M11" i="1"/>
  <c r="L11" i="1"/>
  <c r="K11" i="1"/>
  <c r="J11" i="1"/>
  <c r="G11" i="1"/>
  <c r="M10" i="1"/>
  <c r="L10" i="1"/>
  <c r="K10" i="1"/>
  <c r="J10" i="1"/>
  <c r="G10" i="1"/>
  <c r="M9" i="1"/>
  <c r="L9" i="1"/>
  <c r="K9" i="1"/>
  <c r="J9" i="1"/>
  <c r="G9" i="1"/>
  <c r="M8" i="1"/>
  <c r="L8" i="1"/>
  <c r="K8" i="1"/>
  <c r="J8" i="1"/>
  <c r="G8" i="1"/>
  <c r="M7" i="1"/>
  <c r="L7" i="1"/>
  <c r="K7" i="1"/>
  <c r="J7" i="1"/>
  <c r="G7" i="1"/>
  <c r="M6" i="1"/>
  <c r="L6" i="1"/>
  <c r="K6" i="1"/>
  <c r="J6" i="1"/>
  <c r="G6" i="1"/>
  <c r="M5" i="1"/>
  <c r="L5" i="1"/>
  <c r="K5" i="1"/>
  <c r="J5" i="1"/>
  <c r="G5" i="1"/>
  <c r="M4" i="1"/>
  <c r="L4" i="1"/>
  <c r="K4" i="1"/>
  <c r="J4" i="1"/>
  <c r="G4" i="1"/>
  <c r="M3" i="1"/>
  <c r="L3" i="1"/>
  <c r="K3" i="1"/>
  <c r="J3" i="1"/>
  <c r="G3" i="1"/>
  <c r="M2" i="1"/>
  <c r="L2" i="1"/>
  <c r="K2" i="1"/>
  <c r="J2" i="1"/>
  <c r="G2" i="1"/>
</calcChain>
</file>

<file path=xl/sharedStrings.xml><?xml version="1.0" encoding="utf-8"?>
<sst xmlns="http://schemas.openxmlformats.org/spreadsheetml/2006/main" count="98" uniqueCount="55">
  <si>
    <t>Order ID</t>
  </si>
  <si>
    <t>Order Date</t>
  </si>
  <si>
    <t>Supplier ID</t>
  </si>
  <si>
    <t>Item Category</t>
  </si>
  <si>
    <t>Quantity</t>
  </si>
  <si>
    <t>Unit Price</t>
  </si>
  <si>
    <t>Total Cost</t>
  </si>
  <si>
    <t>Promised Delivery Days</t>
  </si>
  <si>
    <t>Actual Delivery Days</t>
  </si>
  <si>
    <t>ORD-101</t>
  </si>
  <si>
    <t>SUP-003</t>
  </si>
  <si>
    <t>Raw Materials</t>
  </si>
  <si>
    <t>ORD-102</t>
  </si>
  <si>
    <t>SUP-001</t>
  </si>
  <si>
    <t>Packaging</t>
  </si>
  <si>
    <t>ORD-103</t>
  </si>
  <si>
    <t>SUP-005</t>
  </si>
  <si>
    <t>Logistics Equipment</t>
  </si>
  <si>
    <t>ORD-104</t>
  </si>
  <si>
    <t>SUP-002</t>
  </si>
  <si>
    <t>ORD-105</t>
  </si>
  <si>
    <t>SUP-004</t>
  </si>
  <si>
    <t>Components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</si>
  <si>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</si>
  <si>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</si>
  <si>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</si>
  <si>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</si>
  <si>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</si>
  <si>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</si>
  <si>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</si>
  <si>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</si>
  <si>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</si>
  <si>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</si>
  <si>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Supplier Name</t>
  </si>
  <si>
    <t>Location</t>
  </si>
  <si>
    <t>Risk Level</t>
  </si>
  <si>
    <t>Alpha Packaging Ltd</t>
  </si>
  <si>
    <t>Germany</t>
  </si>
  <si>
    <t>Low</t>
  </si>
  <si>
    <t>Nordic Steel Corp</t>
  </si>
  <si>
    <t>Denmark</t>
  </si>
  <si>
    <t>Zeng Logistics &amp; Co</t>
  </si>
  <si>
    <t>China</t>
  </si>
  <si>
    <t>High</t>
  </si>
  <si>
    <t>Rhine Component GmbH</t>
  </si>
  <si>
    <t>Medium</t>
  </si>
  <si>
    <t>Apex Global Freight</t>
  </si>
  <si>
    <t>United States</t>
  </si>
  <si>
    <t>Lead-Time Variance</t>
  </si>
  <si>
    <t>On-Time Delivery</t>
  </si>
  <si>
    <t>Grand Total</t>
  </si>
  <si>
    <t>Sum of Total Cost</t>
  </si>
  <si>
    <t>Sum of On-Time Delivery</t>
  </si>
  <si>
    <t>Sum of Actual Delivery Days</t>
  </si>
  <si>
    <t>Procurement Spend &amp; Operational Risk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</si>
</sst>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;[Red]0.00"/>
    <numFmt numFmtId="165" formatCode="0.00_ ;\-0.00\ "/>
    <numFmt numFmtId="166" formatCode="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0" fontId="0" fillId="0" borderId="0" xfId="0" pivotButton="1"/>
    <xf numFmtId="166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shrinkToFit="1"/>
    </xf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6" formatCode="#,##0.00\ &quot;€&quot;"/>
    </dxf>
    <dxf>
      <numFmt numFmtId="30" formatCode="@"/>
      <alignment shrinkToFit="1"/>
    </dxf>
    <dxf>
      <numFmt numFmtId="166" formatCode="#,##0.00\ &quot;€&quot;"/>
    </dxf>
    <dxf>
      <numFmt numFmtId="30" formatCode="@"/>
      <alignment shrinkToFit="1"/>
    </dxf>
    <dxf>
      <numFmt numFmtId="166" formatCode="#,##0.00\ &quot;€&quot;"/>
    </dxf>
    <dxf>
      <numFmt numFmtId="30" formatCode="@"/>
      <alignment shrinkToFit="1"/>
    </dxf>
    <dxf>
      <numFmt numFmtId="166" formatCode="#,##0.00\ &quot;€&quot;"/>
    </dxf>
    <dxf>
      <numFmt numFmtId="30" formatCode="@"/>
      <alignment shrinkToFit="1"/>
    </dxf>
    <dxf>
      <numFmt numFmtId="30" formatCode="@"/>
      <alignment shrinkToFit="1"/>
    </dxf>
    <dxf>
      <numFmt numFmtId="166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Spend &amp; Operational Risk Dashboard.xlsx]Pivot_Calculations!Operational Risk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Pivot_Calculations!$H$4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Pivot_Calculations!$G$5:$G$8</c:f>
              <c:strCache>
                <c:ptCount val="3"/>
                <c:pt idx="0">
                  <c:v>Medium</c:v>
                </c:pt>
                <c:pt idx="1">
                  <c:v>Low</c:v>
                </c:pt>
                <c:pt idx="2">
                  <c:v>High</c:v>
                </c:pt>
              </c:strCache>
            </c:strRef>
          </c:cat>
          <c:val>
            <c:numRef>
              <c:f>Pivot_Calculations!$H$5:$H$8</c:f>
              <c:numCache>
                <c:formatCode>General</c:formatCode>
                <c:ptCount val="3"/>
                <c:pt idx="0">
                  <c:v>89</c:v>
                </c:pt>
                <c:pt idx="1">
                  <c:v>54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F-44B3-9521-AC589F953D9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Spend &amp; Operational Risk Dashboard.xlsx]Pivot_Calculations!Spend Analysis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Pivot_Calculations!$C$4</c:f>
              <c:strCache>
                <c:ptCount val="1"/>
                <c:pt idx="0">
                  <c:v>Sum of Total 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Pivot_Calculations!$B$5:$B$10</c:f>
              <c:strCache>
                <c:ptCount val="5"/>
                <c:pt idx="0">
                  <c:v>Rhine Component GmbH</c:v>
                </c:pt>
                <c:pt idx="1">
                  <c:v>Zeng Logistics &amp; Co</c:v>
                </c:pt>
                <c:pt idx="2">
                  <c:v>Apex Global Freight</c:v>
                </c:pt>
                <c:pt idx="3">
                  <c:v>Nordic Steel Corp</c:v>
                </c:pt>
                <c:pt idx="4">
                  <c:v>Alpha Packaging Ltd</c:v>
                </c:pt>
              </c:strCache>
            </c:strRef>
          </c:cat>
          <c:val>
            <c:numRef>
              <c:f>Pivot_Calculations!$C$5:$C$10</c:f>
              <c:numCache>
                <c:formatCode>#,##0.00\ "€"</c:formatCode>
                <c:ptCount val="5"/>
                <c:pt idx="0">
                  <c:v>30425</c:v>
                </c:pt>
                <c:pt idx="1">
                  <c:v>22220</c:v>
                </c:pt>
                <c:pt idx="2">
                  <c:v>20490</c:v>
                </c:pt>
                <c:pt idx="3">
                  <c:v>15670</c:v>
                </c:pt>
                <c:pt idx="4">
                  <c:v>8360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A-4035-B464-369447C05135}"/>
            </c:ext>
          </c:extLst>
        </c:ser>
        <c:ser>
          <c:idx val="1"/>
          <c:order val="1"/>
          <c:tx>
            <c:strRef>
              <c:f>Pivot_Calculations!$D$4</c:f>
              <c:strCache>
                <c:ptCount val="1"/>
                <c:pt idx="0">
                  <c:v>Sum of On-Time Delivery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Pivot_Calculations!$B$5:$B$10</c:f>
              <c:strCache>
                <c:ptCount val="5"/>
                <c:pt idx="0">
                  <c:v>Rhine Component GmbH</c:v>
                </c:pt>
                <c:pt idx="1">
                  <c:v>Zeng Logistics &amp; Co</c:v>
                </c:pt>
                <c:pt idx="2">
                  <c:v>Apex Global Freight</c:v>
                </c:pt>
                <c:pt idx="3">
                  <c:v>Nordic Steel Corp</c:v>
                </c:pt>
                <c:pt idx="4">
                  <c:v>Alpha Packaging Ltd</c:v>
                </c:pt>
              </c:strCache>
            </c:strRef>
          </c:cat>
          <c:val>
            <c:numRef>
              <c:f>Pivot_Calculations!$D$5:$D$10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A-4035-B464-369447C0513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621506</xdr:colOff>
      <xdr:row>10</xdr:row>
      <xdr:rowOff>33336</xdr:rowOff>
    </xdr:from>
    <xdr:to>
      <xdr:col>7</xdr:col>
      <xdr:colOff>1595438</xdr:colOff>
      <xdr:row>25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6BFA9D-699F-C978-25F3-5AB78C13B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1347788</xdr:colOff>
      <xdr:row>10</xdr:row>
      <xdr:rowOff>66674</xdr:rowOff>
    </xdr:from>
    <xdr:to>
      <xdr:col>4</xdr:col>
      <xdr:colOff>42862</xdr:colOff>
      <xdr:row>25</xdr:row>
      <xdr:rowOff>42862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4B7B38-3F09-038E-4E4C-A4F3C922F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hthiak Hossain" refreshedDate="46182.781245138889" createdVersion="8" refreshedVersion="8" minRefreshableVersion="3" recordCount="15" xr:uid="{2C2B9EBA-53D1-48EE-A246-00EAD39EDEF4}">
  <cacheSource type="worksheet">
    <worksheetSource ref="A1:M16" sheet="Data"/>
  </cacheSource>
  <cacheFields count="13">
    <cacheField name="Order ID" numFmtId="0">
      <sharedItems/>
    </cacheField>
    <cacheField name="Order Date" numFmtId="14">
      <sharedItems containsSemiMixedTypes="0" containsNonDate="0" containsDate="1" containsString="0" minDate="2026-05-01T00:00:00" maxDate="2026-05-27T00:00:00"/>
    </cacheField>
    <cacheField name="Supplier ID" numFmtId="0">
      <sharedItems/>
    </cacheField>
    <cacheField name="Item Category" numFmtId="0">
      <sharedItems/>
    </cacheField>
    <cacheField name="Quantity" numFmtId="164">
      <sharedItems containsSemiMixedTypes="0" containsString="0" containsNumber="1" containsInteger="1" minValue="8" maxValue="2000"/>
    </cacheField>
    <cacheField name="Unit Price" numFmtId="0">
      <sharedItems containsSemiMixedTypes="0" containsString="0" containsNumber="1" minValue="1.75" maxValue="480"/>
    </cacheField>
    <cacheField name="Total Cost" numFmtId="0">
      <sharedItems containsSemiMixedTypes="0" containsString="0" containsNumber="1" containsInteger="1" minValue="2160" maxValue="13800"/>
    </cacheField>
    <cacheField name="Promised Delivery Days" numFmtId="0">
      <sharedItems containsSemiMixedTypes="0" containsString="0" containsNumber="1" containsInteger="1" minValue="7" maxValue="14"/>
    </cacheField>
    <cacheField name="Actual Delivery Days" numFmtId="0">
      <sharedItems containsSemiMixedTypes="0" containsString="0" containsNumber="1" containsInteger="1" minValue="6" maxValue="19"/>
    </cacheField>
    <cacheField name="Supplier Name" numFmtId="0">
      <sharedItems count="5">
        <s v="Zeng Logistics &amp; Co"/>
        <s v="Alpha Packaging Ltd"/>
        <s v="Apex Global Freight"/>
        <s v="Nordic Steel Corp"/>
        <s v="Rhine Component GmbH"/>
      </sharedItems>
    </cacheField>
    <cacheField name="Risk Level" numFmtId="0">
      <sharedItems count="3">
        <s v="High"/>
        <s v="Low"/>
        <s v="Medium"/>
      </sharedItems>
    </cacheField>
    <cacheField name="Lead-Time Variance" numFmtId="0">
      <sharedItems containsSemiMixedTypes="0" containsString="0" containsNumber="1" containsInteger="1" minValue="-1" maxValue="5"/>
    </cacheField>
    <cacheField name="On-Time Delivery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ORD-101"/>
    <d v="2026-05-01T00:00:00"/>
    <s v="SUP-003"/>
    <s v="Raw Materials"/>
    <n v="500"/>
    <n v="12.5"/>
    <n v="6250"/>
    <n v="10"/>
    <n v="12"/>
    <x v="0"/>
    <x v="0"/>
    <n v="2"/>
    <n v="0"/>
  </r>
  <r>
    <s v="ORD-102"/>
    <d v="2026-05-03T00:00:00"/>
    <s v="SUP-001"/>
    <s v="Packaging"/>
    <n v="1200"/>
    <n v="1.8"/>
    <n v="2160"/>
    <n v="7"/>
    <n v="6"/>
    <x v="1"/>
    <x v="1"/>
    <n v="-1"/>
    <n v="1"/>
  </r>
  <r>
    <s v="ORD-103"/>
    <d v="2026-05-04T00:00:00"/>
    <s v="SUP-005"/>
    <s v="Logistics Equipment"/>
    <n v="15"/>
    <n v="450"/>
    <n v="6750"/>
    <n v="14"/>
    <n v="19"/>
    <x v="2"/>
    <x v="2"/>
    <n v="5"/>
    <n v="0"/>
  </r>
  <r>
    <s v="ORD-104"/>
    <d v="2026-05-06T00:00:00"/>
    <s v="SUP-002"/>
    <s v="Raw Materials"/>
    <n v="350"/>
    <n v="15"/>
    <n v="5250"/>
    <n v="10"/>
    <n v="10"/>
    <x v="3"/>
    <x v="1"/>
    <n v="0"/>
    <n v="1"/>
  </r>
  <r>
    <s v="ORD-105"/>
    <d v="2026-05-07T00:00:00"/>
    <s v="SUP-004"/>
    <s v="Components"/>
    <n v="80"/>
    <n v="95"/>
    <n v="7600"/>
    <n v="12"/>
    <n v="11"/>
    <x v="4"/>
    <x v="2"/>
    <n v="-1"/>
    <n v="1"/>
  </r>
  <r>
    <s v="ORD-106"/>
    <d v="2026-05-10T00:00:00"/>
    <s v="SUP-001"/>
    <s v="Packaging"/>
    <n v="2000"/>
    <n v="1.75"/>
    <n v="3500"/>
    <n v="7"/>
    <n v="9"/>
    <x v="1"/>
    <x v="1"/>
    <n v="2"/>
    <n v="0"/>
  </r>
  <r>
    <s v="ORD-107"/>
    <d v="2026-05-11T00:00:00"/>
    <s v="SUP-003"/>
    <s v="Raw Materials"/>
    <n v="600"/>
    <n v="12.5"/>
    <n v="7500"/>
    <n v="10"/>
    <n v="10"/>
    <x v="0"/>
    <x v="0"/>
    <n v="0"/>
    <n v="1"/>
  </r>
  <r>
    <s v="ORD-108"/>
    <d v="2026-05-12T00:00:00"/>
    <s v="SUP-002"/>
    <s v="Raw Materials"/>
    <n v="400"/>
    <n v="14.8"/>
    <n v="5920"/>
    <n v="10"/>
    <n v="13"/>
    <x v="3"/>
    <x v="1"/>
    <n v="3"/>
    <n v="0"/>
  </r>
  <r>
    <s v="ORD-109"/>
    <d v="2026-05-14T00:00:00"/>
    <s v="SUP-005"/>
    <s v="Logistics Equipment"/>
    <n v="8"/>
    <n v="480"/>
    <n v="3840"/>
    <n v="14"/>
    <n v="14"/>
    <x v="2"/>
    <x v="2"/>
    <n v="0"/>
    <n v="1"/>
  </r>
  <r>
    <s v="ORD-110"/>
    <d v="2026-05-15T00:00:00"/>
    <s v="SUP-004"/>
    <s v="Components"/>
    <n v="150"/>
    <n v="92"/>
    <n v="13800"/>
    <n v="12"/>
    <n v="15"/>
    <x v="4"/>
    <x v="2"/>
    <n v="3"/>
    <n v="0"/>
  </r>
  <r>
    <s v="ORD-111"/>
    <d v="2026-05-18T00:00:00"/>
    <s v="SUP-002"/>
    <s v="Raw Materials"/>
    <n v="300"/>
    <n v="15"/>
    <n v="4500"/>
    <n v="10"/>
    <n v="9"/>
    <x v="3"/>
    <x v="1"/>
    <n v="-1"/>
    <n v="1"/>
  </r>
  <r>
    <s v="ORD-112"/>
    <d v="2026-05-19T00:00:00"/>
    <s v="SUP-001"/>
    <s v="Packaging"/>
    <n v="1500"/>
    <n v="1.8"/>
    <n v="2700"/>
    <n v="7"/>
    <n v="7"/>
    <x v="1"/>
    <x v="1"/>
    <n v="0"/>
    <n v="1"/>
  </r>
  <r>
    <s v="ORD-113"/>
    <d v="2026-05-22T00:00:00"/>
    <s v="SUP-003"/>
    <s v="Raw Materials"/>
    <n v="700"/>
    <n v="12.1"/>
    <n v="8470"/>
    <n v="10"/>
    <n v="14"/>
    <x v="0"/>
    <x v="0"/>
    <n v="4"/>
    <n v="0"/>
  </r>
  <r>
    <s v="ORD-114"/>
    <d v="2026-05-25T00:00:00"/>
    <s v="SUP-004"/>
    <s v="Components"/>
    <n v="95"/>
    <n v="95"/>
    <n v="9025"/>
    <n v="12"/>
    <n v="12"/>
    <x v="4"/>
    <x v="2"/>
    <n v="0"/>
    <n v="1"/>
  </r>
  <r>
    <s v="ORD-115"/>
    <d v="2026-05-26T00:00:00"/>
    <s v="SUP-005"/>
    <s v="Logistics Equipment"/>
    <n v="22"/>
    <n v="450"/>
    <n v="9900"/>
    <n v="14"/>
    <n v="18"/>
    <x v="2"/>
    <x v="2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03F09-47AE-4112-B16E-4FAF9F66DE7B}" name="Operational Risk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10">
  <location ref="G4:H8" firstHeaderRow="1" firstDataRow="1" firstDataCol="1"/>
  <pivotFields count="13">
    <pivotField compact="0" showAll="0"/>
    <pivotField compact="0" numFmtId="14" showAll="0"/>
    <pivotField compact="0" showAll="0"/>
    <pivotField compact="0" showAll="0"/>
    <pivotField compact="0" numFmtId="164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</pivotFields>
  <rowFields count="1">
    <field x="1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Actual Delivery Days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31ECE-0844-4E80-B8AA-76C22D13A4AE}" name="Spend Analysis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16">
  <location ref="B4:D10" firstHeaderRow="0" firstDataRow="1" firstDataCol="1"/>
  <pivotFields count="13">
    <pivotField compact="0" showAll="0"/>
    <pivotField compact="0" numFmtId="14" showAll="0"/>
    <pivotField compact="0" showAll="0"/>
    <pivotField compact="0" showAll="0"/>
    <pivotField compact="0" numFmtId="164" showAll="0"/>
    <pivotField compact="0" showAll="0"/>
    <pivotField dataField="1" compact="0" showAll="0"/>
    <pivotField compact="0" showAll="0"/>
    <pivotField compact="0" showAll="0"/>
    <pivotField axis="axisRow" compact="0" showAll="0" sortType="descending">
      <items count="6"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0"/>
        <item x="1"/>
        <item x="2"/>
        <item t="default"/>
      </items>
    </pivotField>
    <pivotField compact="0" showAll="0"/>
    <pivotField dataField="1" compact="0" showAll="0"/>
  </pivotFields>
  <rowFields count="1">
    <field x="9"/>
  </rowFields>
  <rowItems count="6">
    <i>
      <x v="3"/>
    </i>
    <i>
      <x v="4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ost" fld="6" baseField="9" baseItem="0"/>
    <dataField name="Sum of On-Time Delivery" fld="12" baseField="0" baseItem="0"/>
  </dataFields>
  <formats count="2">
    <format dxfId="12">
      <pivotArea dataOnly="0" outline="0" fieldPosition="0">
        <references count="1">
          <reference field="4294967294" count="1">
            <x v="0"/>
          </reference>
        </references>
      </pivotArea>
    </format>
    <format dxfId="11">
      <pivotArea dataOnly="0" labelOnly="1" outline="0" fieldPosition="0">
        <references count="1">
          <reference field="9" count="1">
            <x v="4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979A-98DD-41C0-863C-0D23860FE876}">
  <dimension ref="B2:H10"/>
  <sheetViews>
    <sheetView tabSelected="1" workbookViewId="0">
      <pane ySplit="2" topLeftCell="A6" activePane="bottomLeft" state="frozen"/>
      <selection pane="bottomLeft" activeCell="E30" sqref="E30"/>
    </sheetView>
  </sheetViews>
  <sheetFormatPr defaultRowHeight="14.25" x14ac:dyDescent="0.45"/>
  <cols>
    <col min="1" max="1" width="18.9296875" customWidth="1"/>
    <col min="2" max="2" width="23" bestFit="1" customWidth="1"/>
    <col min="3" max="3" width="20.3984375" bestFit="1" customWidth="1"/>
    <col min="4" max="4" width="19.86328125" customWidth="1"/>
    <col min="7" max="7" width="24" customWidth="1"/>
    <col min="8" max="8" width="22.59765625" customWidth="1"/>
    <col min="9" max="9" width="22.265625" customWidth="1"/>
  </cols>
  <sheetData>
    <row r="2" spans="2:8" ht="21" customHeight="1" x14ac:dyDescent="0.85">
      <c r="B2" s="9" t="s">
        <v>54</v>
      </c>
      <c r="C2" s="9"/>
      <c r="D2" s="9"/>
      <c r="E2" s="9"/>
      <c r="F2" s="9"/>
      <c r="G2" s="9"/>
      <c r="H2" s="9"/>
    </row>
    <row r="4" spans="2:8" x14ac:dyDescent="0.45">
      <c r="B4" s="5" t="s">
        <v>33</v>
      </c>
      <c r="C4" s="6" t="s">
        <v>51</v>
      </c>
      <c r="D4" t="s">
        <v>52</v>
      </c>
      <c r="G4" s="5" t="s">
        <v>35</v>
      </c>
      <c r="H4" t="s">
        <v>53</v>
      </c>
    </row>
    <row r="5" spans="2:8" x14ac:dyDescent="0.45">
      <c r="B5" t="s">
        <v>44</v>
      </c>
      <c r="C5" s="6">
        <v>30425</v>
      </c>
      <c r="D5" s="7">
        <v>2</v>
      </c>
      <c r="G5" t="s">
        <v>45</v>
      </c>
      <c r="H5" s="7">
        <v>89</v>
      </c>
    </row>
    <row r="6" spans="2:8" x14ac:dyDescent="0.45">
      <c r="B6" s="8" t="s">
        <v>41</v>
      </c>
      <c r="C6" s="6">
        <v>22220</v>
      </c>
      <c r="D6" s="7">
        <v>1</v>
      </c>
      <c r="G6" t="s">
        <v>38</v>
      </c>
      <c r="H6" s="7">
        <v>54</v>
      </c>
    </row>
    <row r="7" spans="2:8" x14ac:dyDescent="0.45">
      <c r="B7" t="s">
        <v>46</v>
      </c>
      <c r="C7" s="6">
        <v>20490</v>
      </c>
      <c r="D7" s="7">
        <v>1</v>
      </c>
      <c r="G7" t="s">
        <v>43</v>
      </c>
      <c r="H7" s="7">
        <v>36</v>
      </c>
    </row>
    <row r="8" spans="2:8" x14ac:dyDescent="0.45">
      <c r="B8" t="s">
        <v>39</v>
      </c>
      <c r="C8" s="6">
        <v>15670</v>
      </c>
      <c r="D8" s="7">
        <v>2</v>
      </c>
      <c r="G8" t="s">
        <v>50</v>
      </c>
      <c r="H8" s="7">
        <v>179</v>
      </c>
    </row>
    <row r="9" spans="2:8" x14ac:dyDescent="0.45">
      <c r="B9" t="s">
        <v>36</v>
      </c>
      <c r="C9" s="6">
        <v>8360</v>
      </c>
      <c r="D9" s="7">
        <v>2</v>
      </c>
    </row>
    <row r="10" spans="2:8" x14ac:dyDescent="0.45">
      <c r="B10" t="s">
        <v>50</v>
      </c>
      <c r="C10" s="6">
        <v>97165</v>
      </c>
      <c r="D10" s="7">
        <v>8</v>
      </c>
    </row>
  </sheetData>
  <mergeCells count="1">
    <mergeCell ref="B2:H2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FC3D-F65C-42DC-9C7A-C438702BC155}">
  <dimension ref="A1:M16"/>
  <sheetViews>
    <sheetView workbookViewId="0">
      <selection activeCell="E22" sqref="E22"/>
    </sheetView>
  </sheetViews>
  <sheetFormatPr defaultRowHeight="14.25" x14ac:dyDescent="0.45"/>
  <cols>
    <col min="1" max="1" width="9.06640625" customWidth="1"/>
    <col min="2" max="2" width="9.9296875" bestFit="1" customWidth="1"/>
    <col min="5" max="5" width="9.06640625" style="2"/>
    <col min="6" max="6" width="8.265625" style="2" bestFit="1" customWidth="1"/>
    <col min="8" max="8" width="22.6640625" customWidth="1"/>
    <col min="9" max="9" width="20.86328125" customWidth="1"/>
    <col min="10" max="10" width="21.06640625" customWidth="1"/>
    <col min="12" max="12" width="15.9296875" customWidth="1"/>
    <col min="13" max="13" width="13.7304687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33</v>
      </c>
      <c r="K1" t="s">
        <v>35</v>
      </c>
      <c r="L1" t="s">
        <v>48</v>
      </c>
      <c r="M1" t="s">
        <v>49</v>
      </c>
    </row>
    <row r="2" spans="1:13" x14ac:dyDescent="0.45">
      <c r="A2" t="s">
        <v>9</v>
      </c>
      <c r="B2" s="1">
        <v>46143</v>
      </c>
      <c r="C2" t="s">
        <v>10</v>
      </c>
      <c r="D2" t="s">
        <v>11</v>
      </c>
      <c r="E2" s="3">
        <v>500</v>
      </c>
      <c r="F2" s="2">
        <v>12.5</v>
      </c>
      <c r="G2">
        <f>E2*F2</f>
        <v>6250</v>
      </c>
      <c r="H2">
        <v>10</v>
      </c>
      <c r="I2">
        <v>12</v>
      </c>
      <c r="J2" t="str">
        <f>_xlfn.XLOOKUP(C:C,'Supplier_Info!'!A:A,'Supplier_Info!'!B:B)</f>
        <v>Zeng Logistics &amp; Co</v>
      </c>
      <c r="K2" t="str">
        <f>_xlfn.XLOOKUP(C:C,'Supplier_Info!'!A:A,'Supplier_Info!'!D:D)</f>
        <v>High</v>
      </c>
      <c r="L2">
        <f>I2-H2</f>
        <v>2</v>
      </c>
      <c r="M2">
        <f>IF(I2&lt;=H2,1,0)</f>
        <v>0</v>
      </c>
    </row>
    <row r="3" spans="1:13" x14ac:dyDescent="0.45">
      <c r="A3" t="s">
        <v>12</v>
      </c>
      <c r="B3" s="1">
        <v>46145</v>
      </c>
      <c r="C3" t="s">
        <v>13</v>
      </c>
      <c r="D3" t="s">
        <v>14</v>
      </c>
      <c r="E3" s="3">
        <v>1200</v>
      </c>
      <c r="F3" s="2">
        <v>1.8</v>
      </c>
      <c r="G3">
        <f>E3*F3</f>
        <v>2160</v>
      </c>
      <c r="H3">
        <v>7</v>
      </c>
      <c r="I3">
        <v>6</v>
      </c>
      <c r="J3" t="str">
        <f>_xlfn.XLOOKUP(C:C,'Supplier_Info!'!A:A,'Supplier_Info!'!B:B)</f>
        <v>Alpha Packaging Ltd</v>
      </c>
      <c r="K3" t="str">
        <f>_xlfn.XLOOKUP(C:C,'Supplier_Info!'!A:A,'Supplier_Info!'!D:D)</f>
        <v>Low</v>
      </c>
      <c r="L3">
        <f t="shared" ref="L3:L16" si="0">I3-H3</f>
        <v>-1</v>
      </c>
      <c r="M3">
        <f t="shared" ref="M3:M16" si="1">IF(I3&lt;=H3,1,0)</f>
        <v>1</v>
      </c>
    </row>
    <row r="4" spans="1:13" x14ac:dyDescent="0.45">
      <c r="A4" t="s">
        <v>15</v>
      </c>
      <c r="B4" s="1">
        <v>46146</v>
      </c>
      <c r="C4" t="s">
        <v>16</v>
      </c>
      <c r="D4" t="s">
        <v>17</v>
      </c>
      <c r="E4" s="3">
        <v>15</v>
      </c>
      <c r="F4" s="4">
        <v>450</v>
      </c>
      <c r="G4">
        <f t="shared" ref="G4:G16" si="2">E4*F4</f>
        <v>6750</v>
      </c>
      <c r="H4">
        <v>14</v>
      </c>
      <c r="I4">
        <v>19</v>
      </c>
      <c r="J4" t="str">
        <f>_xlfn.XLOOKUP(C:C,'Supplier_Info!'!A:A,'Supplier_Info!'!B:B)</f>
        <v>Apex Global Freight</v>
      </c>
      <c r="K4" t="str">
        <f>_xlfn.XLOOKUP(C:C,'Supplier_Info!'!A:A,'Supplier_Info!'!D:D)</f>
        <v>Medium</v>
      </c>
      <c r="L4">
        <f t="shared" si="0"/>
        <v>5</v>
      </c>
      <c r="M4">
        <f t="shared" si="1"/>
        <v>0</v>
      </c>
    </row>
    <row r="5" spans="1:13" x14ac:dyDescent="0.45">
      <c r="A5" t="s">
        <v>18</v>
      </c>
      <c r="B5" s="1">
        <v>46148</v>
      </c>
      <c r="C5" t="s">
        <v>19</v>
      </c>
      <c r="D5" t="s">
        <v>11</v>
      </c>
      <c r="E5" s="3">
        <v>350</v>
      </c>
      <c r="F5" s="4">
        <v>15</v>
      </c>
      <c r="G5">
        <f t="shared" si="2"/>
        <v>5250</v>
      </c>
      <c r="H5">
        <v>10</v>
      </c>
      <c r="I5">
        <v>10</v>
      </c>
      <c r="J5" t="str">
        <f>_xlfn.XLOOKUP(C:C,'Supplier_Info!'!A:A,'Supplier_Info!'!B:B)</f>
        <v>Nordic Steel Corp</v>
      </c>
      <c r="K5" t="str">
        <f>_xlfn.XLOOKUP(C:C,'Supplier_Info!'!A:A,'Supplier_Info!'!D:D)</f>
        <v>Low</v>
      </c>
      <c r="L5">
        <f t="shared" si="0"/>
        <v>0</v>
      </c>
      <c r="M5">
        <f t="shared" si="1"/>
        <v>1</v>
      </c>
    </row>
    <row r="6" spans="1:13" x14ac:dyDescent="0.45">
      <c r="A6" t="s">
        <v>20</v>
      </c>
      <c r="B6" s="1">
        <v>46149</v>
      </c>
      <c r="C6" t="s">
        <v>21</v>
      </c>
      <c r="D6" t="s">
        <v>22</v>
      </c>
      <c r="E6" s="3">
        <v>80</v>
      </c>
      <c r="F6" s="4">
        <v>95</v>
      </c>
      <c r="G6">
        <f t="shared" si="2"/>
        <v>7600</v>
      </c>
      <c r="H6">
        <v>12</v>
      </c>
      <c r="I6">
        <v>11</v>
      </c>
      <c r="J6" t="str">
        <f>_xlfn.XLOOKUP(C:C,'Supplier_Info!'!A:A,'Supplier_Info!'!B:B)</f>
        <v>Rhine Component GmbH</v>
      </c>
      <c r="K6" t="str">
        <f>_xlfn.XLOOKUP(C:C,'Supplier_Info!'!A:A,'Supplier_Info!'!D:D)</f>
        <v>Medium</v>
      </c>
      <c r="L6">
        <f t="shared" si="0"/>
        <v>-1</v>
      </c>
      <c r="M6">
        <f t="shared" si="1"/>
        <v>1</v>
      </c>
    </row>
    <row r="7" spans="1:13" x14ac:dyDescent="0.45">
      <c r="A7" t="s">
        <v>23</v>
      </c>
      <c r="B7" s="1">
        <v>46152</v>
      </c>
      <c r="C7" t="s">
        <v>13</v>
      </c>
      <c r="D7" t="s">
        <v>14</v>
      </c>
      <c r="E7" s="3">
        <v>2000</v>
      </c>
      <c r="F7" s="4">
        <v>1.75</v>
      </c>
      <c r="G7">
        <f>E7*F7</f>
        <v>3500</v>
      </c>
      <c r="H7">
        <v>7</v>
      </c>
      <c r="I7">
        <v>9</v>
      </c>
      <c r="J7" t="str">
        <f>_xlfn.XLOOKUP(C:C,'Supplier_Info!'!A:A,'Supplier_Info!'!B:B)</f>
        <v>Alpha Packaging Ltd</v>
      </c>
      <c r="K7" t="str">
        <f>_xlfn.XLOOKUP(C:C,'Supplier_Info!'!A:A,'Supplier_Info!'!D:D)</f>
        <v>Low</v>
      </c>
      <c r="L7">
        <f t="shared" si="0"/>
        <v>2</v>
      </c>
      <c r="M7">
        <f t="shared" si="1"/>
        <v>0</v>
      </c>
    </row>
    <row r="8" spans="1:13" x14ac:dyDescent="0.45">
      <c r="A8" t="s">
        <v>24</v>
      </c>
      <c r="B8" s="1">
        <v>46153</v>
      </c>
      <c r="C8" t="s">
        <v>10</v>
      </c>
      <c r="D8" t="s">
        <v>11</v>
      </c>
      <c r="E8" s="3">
        <v>600</v>
      </c>
      <c r="F8" s="4">
        <v>12.5</v>
      </c>
      <c r="G8">
        <f t="shared" si="2"/>
        <v>7500</v>
      </c>
      <c r="H8">
        <v>10</v>
      </c>
      <c r="I8">
        <v>10</v>
      </c>
      <c r="J8" t="str">
        <f>_xlfn.XLOOKUP(C:C,'Supplier_Info!'!A:A,'Supplier_Info!'!B:B)</f>
        <v>Zeng Logistics &amp; Co</v>
      </c>
      <c r="K8" t="str">
        <f>_xlfn.XLOOKUP(C:C,'Supplier_Info!'!A:A,'Supplier_Info!'!D:D)</f>
        <v>High</v>
      </c>
      <c r="L8">
        <f t="shared" si="0"/>
        <v>0</v>
      </c>
      <c r="M8">
        <f t="shared" si="1"/>
        <v>1</v>
      </c>
    </row>
    <row r="9" spans="1:13" x14ac:dyDescent="0.45">
      <c r="A9" t="s">
        <v>25</v>
      </c>
      <c r="B9" s="1">
        <v>46154</v>
      </c>
      <c r="C9" t="s">
        <v>19</v>
      </c>
      <c r="D9" t="s">
        <v>11</v>
      </c>
      <c r="E9" s="3">
        <v>400</v>
      </c>
      <c r="F9" s="4">
        <v>14.8</v>
      </c>
      <c r="G9">
        <f t="shared" si="2"/>
        <v>5920</v>
      </c>
      <c r="H9">
        <v>10</v>
      </c>
      <c r="I9">
        <v>13</v>
      </c>
      <c r="J9" t="str">
        <f>_xlfn.XLOOKUP(C:C,'Supplier_Info!'!A:A,'Supplier_Info!'!B:B)</f>
        <v>Nordic Steel Corp</v>
      </c>
      <c r="K9" t="str">
        <f>_xlfn.XLOOKUP(C:C,'Supplier_Info!'!A:A,'Supplier_Info!'!D:D)</f>
        <v>Low</v>
      </c>
      <c r="L9">
        <f t="shared" si="0"/>
        <v>3</v>
      </c>
      <c r="M9">
        <f t="shared" si="1"/>
        <v>0</v>
      </c>
    </row>
    <row r="10" spans="1:13" x14ac:dyDescent="0.45">
      <c r="A10" t="s">
        <v>26</v>
      </c>
      <c r="B10" s="1">
        <v>46156</v>
      </c>
      <c r="C10" t="s">
        <v>16</v>
      </c>
      <c r="D10" t="s">
        <v>17</v>
      </c>
      <c r="E10" s="3">
        <v>8</v>
      </c>
      <c r="F10" s="4">
        <v>480</v>
      </c>
      <c r="G10">
        <f t="shared" si="2"/>
        <v>3840</v>
      </c>
      <c r="H10">
        <v>14</v>
      </c>
      <c r="I10">
        <v>14</v>
      </c>
      <c r="J10" t="str">
        <f>_xlfn.XLOOKUP(C:C,'Supplier_Info!'!A:A,'Supplier_Info!'!B:B)</f>
        <v>Apex Global Freight</v>
      </c>
      <c r="K10" t="str">
        <f>_xlfn.XLOOKUP(C:C,'Supplier_Info!'!A:A,'Supplier_Info!'!D:D)</f>
        <v>Medium</v>
      </c>
      <c r="L10">
        <f t="shared" si="0"/>
        <v>0</v>
      </c>
      <c r="M10">
        <f t="shared" si="1"/>
        <v>1</v>
      </c>
    </row>
    <row r="11" spans="1:13" x14ac:dyDescent="0.45">
      <c r="A11" t="s">
        <v>27</v>
      </c>
      <c r="B11" s="1">
        <v>46157</v>
      </c>
      <c r="C11" t="s">
        <v>21</v>
      </c>
      <c r="D11" t="s">
        <v>22</v>
      </c>
      <c r="E11" s="3">
        <v>150</v>
      </c>
      <c r="F11" s="4">
        <v>92</v>
      </c>
      <c r="G11">
        <f t="shared" si="2"/>
        <v>13800</v>
      </c>
      <c r="H11">
        <v>12</v>
      </c>
      <c r="I11">
        <v>15</v>
      </c>
      <c r="J11" t="str">
        <f>_xlfn.XLOOKUP(C:C,'Supplier_Info!'!A:A,'Supplier_Info!'!B:B)</f>
        <v>Rhine Component GmbH</v>
      </c>
      <c r="K11" t="str">
        <f>_xlfn.XLOOKUP(C:C,'Supplier_Info!'!A:A,'Supplier_Info!'!D:D)</f>
        <v>Medium</v>
      </c>
      <c r="L11">
        <f t="shared" si="0"/>
        <v>3</v>
      </c>
      <c r="M11">
        <f t="shared" si="1"/>
        <v>0</v>
      </c>
    </row>
    <row r="12" spans="1:13" x14ac:dyDescent="0.45">
      <c r="A12" t="s">
        <v>28</v>
      </c>
      <c r="B12" s="1">
        <v>46160</v>
      </c>
      <c r="C12" t="s">
        <v>19</v>
      </c>
      <c r="D12" t="s">
        <v>11</v>
      </c>
      <c r="E12" s="3">
        <v>300</v>
      </c>
      <c r="F12" s="4">
        <v>15</v>
      </c>
      <c r="G12">
        <f t="shared" si="2"/>
        <v>4500</v>
      </c>
      <c r="H12">
        <v>10</v>
      </c>
      <c r="I12">
        <v>9</v>
      </c>
      <c r="J12" t="str">
        <f>_xlfn.XLOOKUP(C:C,'Supplier_Info!'!A:A,'Supplier_Info!'!B:B)</f>
        <v>Nordic Steel Corp</v>
      </c>
      <c r="K12" t="str">
        <f>_xlfn.XLOOKUP(C:C,'Supplier_Info!'!A:A,'Supplier_Info!'!D:D)</f>
        <v>Low</v>
      </c>
      <c r="L12">
        <f t="shared" si="0"/>
        <v>-1</v>
      </c>
      <c r="M12">
        <f t="shared" si="1"/>
        <v>1</v>
      </c>
    </row>
    <row r="13" spans="1:13" x14ac:dyDescent="0.45">
      <c r="A13" t="s">
        <v>29</v>
      </c>
      <c r="B13" s="1">
        <v>46161</v>
      </c>
      <c r="C13" t="s">
        <v>13</v>
      </c>
      <c r="D13" t="s">
        <v>14</v>
      </c>
      <c r="E13" s="3">
        <v>1500</v>
      </c>
      <c r="F13" s="4">
        <v>1.8</v>
      </c>
      <c r="G13">
        <f t="shared" si="2"/>
        <v>2700</v>
      </c>
      <c r="H13">
        <v>7</v>
      </c>
      <c r="I13">
        <v>7</v>
      </c>
      <c r="J13" t="str">
        <f>_xlfn.XLOOKUP(C:C,'Supplier_Info!'!A:A,'Supplier_Info!'!B:B)</f>
        <v>Alpha Packaging Ltd</v>
      </c>
      <c r="K13" t="str">
        <f>_xlfn.XLOOKUP(C:C,'Supplier_Info!'!A:A,'Supplier_Info!'!D:D)</f>
        <v>Low</v>
      </c>
      <c r="L13">
        <f t="shared" si="0"/>
        <v>0</v>
      </c>
      <c r="M13">
        <f t="shared" si="1"/>
        <v>1</v>
      </c>
    </row>
    <row r="14" spans="1:13" x14ac:dyDescent="0.45">
      <c r="A14" t="s">
        <v>30</v>
      </c>
      <c r="B14" s="1">
        <v>46164</v>
      </c>
      <c r="C14" t="s">
        <v>10</v>
      </c>
      <c r="D14" t="s">
        <v>11</v>
      </c>
      <c r="E14" s="3">
        <v>700</v>
      </c>
      <c r="F14" s="4">
        <v>12.1</v>
      </c>
      <c r="G14">
        <f t="shared" si="2"/>
        <v>8470</v>
      </c>
      <c r="H14">
        <v>10</v>
      </c>
      <c r="I14">
        <v>14</v>
      </c>
      <c r="J14" t="str">
        <f>_xlfn.XLOOKUP(C:C,'Supplier_Info!'!A:A,'Supplier_Info!'!B:B)</f>
        <v>Zeng Logistics &amp; Co</v>
      </c>
      <c r="K14" t="str">
        <f>_xlfn.XLOOKUP(C:C,'Supplier_Info!'!A:A,'Supplier_Info!'!D:D)</f>
        <v>High</v>
      </c>
      <c r="L14">
        <f t="shared" si="0"/>
        <v>4</v>
      </c>
      <c r="M14">
        <f t="shared" si="1"/>
        <v>0</v>
      </c>
    </row>
    <row r="15" spans="1:13" x14ac:dyDescent="0.45">
      <c r="A15" t="s">
        <v>31</v>
      </c>
      <c r="B15" s="1">
        <v>46167</v>
      </c>
      <c r="C15" t="s">
        <v>21</v>
      </c>
      <c r="D15" t="s">
        <v>22</v>
      </c>
      <c r="E15" s="3">
        <v>95</v>
      </c>
      <c r="F15" s="4">
        <v>95</v>
      </c>
      <c r="G15">
        <f t="shared" si="2"/>
        <v>9025</v>
      </c>
      <c r="H15">
        <v>12</v>
      </c>
      <c r="I15">
        <v>12</v>
      </c>
      <c r="J15" t="str">
        <f>_xlfn.XLOOKUP(C:C,'Supplier_Info!'!A:A,'Supplier_Info!'!B:B)</f>
        <v>Rhine Component GmbH</v>
      </c>
      <c r="K15" t="str">
        <f>_xlfn.XLOOKUP(C:C,'Supplier_Info!'!A:A,'Supplier_Info!'!D:D)</f>
        <v>Medium</v>
      </c>
      <c r="L15">
        <f t="shared" si="0"/>
        <v>0</v>
      </c>
      <c r="M15">
        <f t="shared" si="1"/>
        <v>1</v>
      </c>
    </row>
    <row r="16" spans="1:13" x14ac:dyDescent="0.45">
      <c r="A16" t="s">
        <v>32</v>
      </c>
      <c r="B16" s="1">
        <v>46168</v>
      </c>
      <c r="C16" t="s">
        <v>16</v>
      </c>
      <c r="D16" t="s">
        <v>17</v>
      </c>
      <c r="E16" s="3">
        <v>22</v>
      </c>
      <c r="F16" s="4">
        <v>450</v>
      </c>
      <c r="G16">
        <f t="shared" si="2"/>
        <v>9900</v>
      </c>
      <c r="H16">
        <v>14</v>
      </c>
      <c r="I16">
        <v>18</v>
      </c>
      <c r="J16" t="str">
        <f>_xlfn.XLOOKUP(C:C,'Supplier_Info!'!A:A,'Supplier_Info!'!B:B)</f>
        <v>Apex Global Freight</v>
      </c>
      <c r="K16" t="str">
        <f>_xlfn.XLOOKUP(C:C,'Supplier_Info!'!A:A,'Supplier_Info!'!D:D)</f>
        <v>Medium</v>
      </c>
      <c r="L16">
        <f t="shared" si="0"/>
        <v>4</v>
      </c>
      <c r="M16">
        <f t="shared" si="1"/>
        <v>0</v>
      </c>
    </row>
  </sheetData>
  <conditionalFormatting sqref="K1:K1048576">
    <cfRule type="containsText" dxfId="2" priority="1" operator="containsText" text="Medium">
      <formula>NOT(ISERROR(SEARCH("Medium",K1)))</formula>
    </cfRule>
    <cfRule type="containsText" dxfId="1" priority="2" operator="containsText" text="Low">
      <formula>NOT(ISERROR(SEARCH("Low",K1)))</formula>
    </cfRule>
    <cfRule type="containsText" dxfId="0" priority="3" operator="containsText" text="High">
      <formula>NOT(ISERROR(SEARCH("High",K1)))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CE86-D349-4479-A460-4EF8FCA2E248}">
  <dimension ref="A1:D6"/>
  <sheetViews>
    <sheetView workbookViewId="0">
      <selection activeCell="B1" sqref="B1"/>
    </sheetView>
  </sheetViews>
  <sheetFormatPr defaultRowHeight="14.25" x14ac:dyDescent="0.45"/>
  <cols>
    <col min="1" max="1" width="9.19921875" bestFit="1" customWidth="1"/>
    <col min="2" max="2" width="20.33203125" bestFit="1" customWidth="1"/>
    <col min="3" max="3" width="11.19921875" bestFit="1" customWidth="1"/>
    <col min="5" max="5" width="12.73046875" customWidth="1"/>
    <col min="10" max="10" width="13.33203125" customWidth="1"/>
  </cols>
  <sheetData>
    <row r="1" spans="1:4" x14ac:dyDescent="0.45">
      <c r="A1" t="s">
        <v>2</v>
      </c>
      <c r="B1" t="s">
        <v>33</v>
      </c>
      <c r="C1" t="s">
        <v>34</v>
      </c>
      <c r="D1" t="s">
        <v>35</v>
      </c>
    </row>
    <row r="2" spans="1:4" x14ac:dyDescent="0.45">
      <c r="A2" t="s">
        <v>13</v>
      </c>
      <c r="B2" t="s">
        <v>36</v>
      </c>
      <c r="C2" t="s">
        <v>37</v>
      </c>
      <c r="D2" t="s">
        <v>38</v>
      </c>
    </row>
    <row r="3" spans="1:4" x14ac:dyDescent="0.45">
      <c r="A3" t="s">
        <v>19</v>
      </c>
      <c r="B3" t="s">
        <v>39</v>
      </c>
      <c r="C3" t="s">
        <v>40</v>
      </c>
      <c r="D3" t="s">
        <v>38</v>
      </c>
    </row>
    <row r="4" spans="1:4" x14ac:dyDescent="0.45">
      <c r="A4" t="s">
        <v>10</v>
      </c>
      <c r="B4" t="s">
        <v>41</v>
      </c>
      <c r="C4" t="s">
        <v>42</v>
      </c>
      <c r="D4" t="s">
        <v>43</v>
      </c>
    </row>
    <row r="5" spans="1:4" x14ac:dyDescent="0.45">
      <c r="A5" t="s">
        <v>21</v>
      </c>
      <c r="B5" t="s">
        <v>44</v>
      </c>
      <c r="C5" t="s">
        <v>37</v>
      </c>
      <c r="D5" t="s">
        <v>45</v>
      </c>
    </row>
    <row r="6" spans="1:4" x14ac:dyDescent="0.45">
      <c r="A6" t="s">
        <v>16</v>
      </c>
      <c r="B6" t="s">
        <v>46</v>
      </c>
      <c r="C6" t="s">
        <v>47</v>
      </c>
      <c r="D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Pivot_Calculations</vt:lpstr>
      <vt:lpstr>Data</vt:lpstr>
      <vt:lpstr>Supplier_Info!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Eshthiak Hossain</dc:creator>
  <cp:lastModifiedBy>Eshthiak Hossain</cp:lastModifiedBy>
  <dcterms:created xsi:type="dcterms:W3CDTF">2026-06-09T14:55:14Z</dcterms:created>
  <dcterms:modified xsi:type="dcterms:W3CDTF">2026-06-09T18:00:42Z</dcterms:modified>
</cp:coreProperties>
</file>